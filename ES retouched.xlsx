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6FD6"/>
    </font>
    <font>
      <b val="1"/>
    </font>
  </fonts>
  <fills count="3">
    <fill>
      <patternFill/>
    </fill>
    <fill>
      <patternFill patternType="gray125"/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42" customWidth="1" min="14" max="14"/>
  </cols>
  <sheetData>
    <row r="1">
      <c r="A1" s="1" t="inlineStr">
        <is>
          <t>QUARTERBACK — Excel Score (ES)</t>
        </is>
      </c>
    </row>
    <row r="2">
      <c r="A2" s="2" t="inlineStr">
        <is>
          <t>Rate</t>
        </is>
      </c>
      <c r="B2" s="2" t="inlineStr">
        <is>
          <t>INT%</t>
        </is>
      </c>
      <c r="C2" s="2" t="inlineStr">
        <is>
          <t>TD%</t>
        </is>
      </c>
      <c r="D2" s="2" t="inlineStr">
        <is>
          <t>Y/G</t>
        </is>
      </c>
      <c r="E2" s="2" t="inlineStr">
        <is>
          <t>Comp%</t>
        </is>
      </c>
      <c r="F2" s="2" t="inlineStr">
        <is>
          <t>Suc%</t>
        </is>
      </c>
      <c r="G2" s="2" t="inlineStr">
        <is>
          <t>ANY/A</t>
        </is>
      </c>
      <c r="H2" s="2" t="inlineStr">
        <is>
          <t>4QC</t>
        </is>
      </c>
      <c r="I2" s="2" t="inlineStr">
        <is>
          <t>G</t>
        </is>
      </c>
      <c r="J2" s="2" t="inlineStr">
        <is>
          <t>CB%</t>
        </is>
      </c>
      <c r="K2" s="2" t="inlineStr">
        <is>
          <t>Sack%</t>
        </is>
      </c>
      <c r="M2" s="2" t="inlineStr">
        <is>
          <t>ES</t>
        </is>
      </c>
      <c r="N2" s="2" t="inlineStr">
        <is>
          <t>(label)</t>
        </is>
      </c>
    </row>
    <row r="3">
      <c r="A3" t="n">
        <v>105.6</v>
      </c>
      <c r="B3" t="n">
        <v>2</v>
      </c>
      <c r="C3" t="n">
        <v>6.4</v>
      </c>
      <c r="D3" t="n">
        <v>327.2</v>
      </c>
      <c r="E3" t="n">
        <v>65.59999999999999</v>
      </c>
      <c r="F3" t="n">
        <v>55.5</v>
      </c>
      <c r="G3" t="n">
        <v>8.199999999999999</v>
      </c>
      <c r="H3" t="n">
        <v>1</v>
      </c>
      <c r="I3" t="n">
        <v>16</v>
      </c>
      <c r="J3">
        <f>H3/I3</f>
        <v/>
      </c>
      <c r="K3" t="n">
        <v>4.98</v>
      </c>
      <c r="N3" t="inlineStr">
        <is>
          <t>Tom Brady 2011</t>
        </is>
      </c>
    </row>
    <row r="4">
      <c r="A4" s="3" t="n">
        <v>84.3</v>
      </c>
      <c r="B4" s="3" t="n">
        <v>2.9</v>
      </c>
      <c r="C4" s="3" t="n">
        <v>4.3</v>
      </c>
      <c r="D4" s="3" t="n">
        <v>126.5</v>
      </c>
      <c r="E4" s="3" t="n">
        <v>60.1</v>
      </c>
      <c r="F4" s="3" t="n">
        <v>44.2</v>
      </c>
      <c r="G4" s="3" t="n">
        <v>5.9</v>
      </c>
      <c r="H4" s="3" t="n">
        <v>1</v>
      </c>
      <c r="I4" s="3" t="n">
        <v>14</v>
      </c>
      <c r="J4">
        <f>H4/I4</f>
        <v/>
      </c>
      <c r="K4" s="3" t="n">
        <v>6.32</v>
      </c>
      <c r="N4" t="inlineStr">
        <is>
          <t>ALL-QB AVG 2011  (replace w/ per-year qualifier avg)</t>
        </is>
      </c>
    </row>
    <row r="6">
      <c r="A6">
        <f>A3/A4</f>
        <v/>
      </c>
      <c r="B6">
        <f>MAX(0,2-(B3/B4))</f>
        <v/>
      </c>
      <c r="C6">
        <f>C3/C4</f>
        <v/>
      </c>
      <c r="D6">
        <f>D3/D4</f>
        <v/>
      </c>
      <c r="E6">
        <f>E3/E4</f>
        <v/>
      </c>
      <c r="F6">
        <f>F3/F4</f>
        <v/>
      </c>
      <c r="G6">
        <f>G3/G4</f>
        <v/>
      </c>
      <c r="I6">
        <f>I3/I4</f>
        <v/>
      </c>
      <c r="J6">
        <f>J3/J4</f>
        <v/>
      </c>
      <c r="K6">
        <f>MAX(0,2-(K3/K4))</f>
        <v/>
      </c>
      <c r="N6" t="inlineStr">
        <is>
          <t>ratios (1.0 = average)</t>
        </is>
      </c>
    </row>
    <row r="7">
      <c r="A7" t="n">
        <v>2</v>
      </c>
      <c r="B7" t="n">
        <v>1.5</v>
      </c>
      <c r="C7" t="n">
        <v>1.75</v>
      </c>
      <c r="D7" t="n">
        <v>0.6</v>
      </c>
      <c r="E7" t="n">
        <v>1.25</v>
      </c>
      <c r="F7" t="n">
        <v>1</v>
      </c>
      <c r="G7" t="n">
        <v>1.25</v>
      </c>
      <c r="I7" t="n">
        <v>1</v>
      </c>
      <c r="J7" t="n">
        <v>1</v>
      </c>
      <c r="K7" t="n">
        <v>1</v>
      </c>
      <c r="N7" t="inlineStr">
        <is>
          <t>weights</t>
        </is>
      </c>
    </row>
    <row r="8">
      <c r="A8">
        <f>A6*A7</f>
        <v/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I8">
        <f>I6*I7</f>
        <v/>
      </c>
      <c r="J8">
        <f>J6*J7</f>
        <v/>
      </c>
      <c r="K8">
        <f>K6*K7</f>
        <v/>
      </c>
      <c r="M8" s="1">
        <f>50*SUM(A8:G8,I8:K8)/SUM(A7:G7,I7:K7)</f>
        <v/>
      </c>
      <c r="N8" t="inlineStr">
        <is>
          <t>weighted</t>
        </is>
      </c>
    </row>
    <row r="12">
      <c r="A12" s="1" t="inlineStr">
        <is>
          <t>RUNNING BACK — Excel Score (ES)</t>
        </is>
      </c>
    </row>
    <row r="13">
      <c r="A13" s="2" t="inlineStr">
        <is>
          <t>RushYds</t>
        </is>
      </c>
      <c r="B13" s="2" t="inlineStr">
        <is>
          <t>RushTD</t>
        </is>
      </c>
      <c r="C13" s="2" t="inlineStr">
        <is>
          <t>Suc%</t>
        </is>
      </c>
      <c r="D13" s="2" t="inlineStr">
        <is>
          <t>Y/A</t>
        </is>
      </c>
      <c r="E13" s="2" t="inlineStr">
        <is>
          <t>ATT</t>
        </is>
      </c>
      <c r="F13" s="2" t="inlineStr">
        <is>
          <t>Rec</t>
        </is>
      </c>
      <c r="G13" s="2" t="inlineStr">
        <is>
          <t>RecYds</t>
        </is>
      </c>
      <c r="H13" s="2" t="inlineStr">
        <is>
          <t>G</t>
        </is>
      </c>
      <c r="I13" s="2" t="inlineStr">
        <is>
          <t>FMB</t>
        </is>
      </c>
      <c r="M13" s="2" t="inlineStr">
        <is>
          <t>ES</t>
        </is>
      </c>
      <c r="N13" s="2" t="inlineStr">
        <is>
          <t>(label)</t>
        </is>
      </c>
    </row>
    <row r="14">
      <c r="A14" t="n">
        <v>1309</v>
      </c>
      <c r="B14" t="n">
        <v>17</v>
      </c>
      <c r="C14" t="n">
        <v>50.9</v>
      </c>
      <c r="D14" t="n">
        <v>4.8</v>
      </c>
      <c r="E14" t="n">
        <v>273</v>
      </c>
      <c r="F14" t="n">
        <v>48</v>
      </c>
      <c r="G14" t="n">
        <v>315</v>
      </c>
      <c r="H14" t="n">
        <v>15</v>
      </c>
      <c r="I14" t="n">
        <v>1</v>
      </c>
      <c r="N14" t="inlineStr">
        <is>
          <t>LeSean McCoy 2011</t>
        </is>
      </c>
    </row>
    <row r="15">
      <c r="A15" s="3" t="n">
        <v>700</v>
      </c>
      <c r="B15" s="3" t="n">
        <v>5</v>
      </c>
      <c r="C15" s="3" t="n">
        <v>44.9</v>
      </c>
      <c r="D15" s="3" t="n">
        <v>4.2</v>
      </c>
      <c r="E15" s="3" t="n">
        <v>170</v>
      </c>
      <c r="F15" s="3" t="n">
        <v>30</v>
      </c>
      <c r="G15" s="3" t="n">
        <v>240</v>
      </c>
      <c r="H15" s="3" t="n">
        <v>14</v>
      </c>
      <c r="I15" s="3" t="n">
        <v>2</v>
      </c>
      <c r="N15" t="inlineStr">
        <is>
          <t>ALL-RB AVG 2011  (replace w/ per-year qualifier avg)</t>
        </is>
      </c>
    </row>
    <row r="16">
      <c r="A16">
        <f>A14/A15</f>
        <v/>
      </c>
      <c r="B16">
        <f>B14/B15</f>
        <v/>
      </c>
      <c r="C16">
        <f>C14/C15</f>
        <v/>
      </c>
      <c r="D16">
        <f>D14/D15</f>
        <v/>
      </c>
      <c r="E16">
        <f>E14/E15</f>
        <v/>
      </c>
      <c r="F16">
        <f>F14/F15</f>
        <v/>
      </c>
      <c r="G16">
        <f>G14/G15</f>
        <v/>
      </c>
      <c r="H16">
        <f>H14/H15</f>
        <v/>
      </c>
      <c r="I16">
        <f>MAX(0,2-(I14/I15))</f>
        <v/>
      </c>
      <c r="N16" t="inlineStr">
        <is>
          <t>ratios (1.0 = average)</t>
        </is>
      </c>
    </row>
    <row r="17">
      <c r="A17" t="n">
        <v>1.5</v>
      </c>
      <c r="B17" t="n">
        <v>1</v>
      </c>
      <c r="C17" t="n">
        <v>1.2</v>
      </c>
      <c r="D17" t="n">
        <v>1.4</v>
      </c>
      <c r="E17" t="n">
        <v>1.2</v>
      </c>
      <c r="F17" t="n">
        <v>0.8</v>
      </c>
      <c r="G17" t="n">
        <v>0.8</v>
      </c>
      <c r="H17" t="n">
        <v>1</v>
      </c>
      <c r="I17" t="n">
        <v>0.5</v>
      </c>
      <c r="N17" t="inlineStr">
        <is>
          <t>weights</t>
        </is>
      </c>
    </row>
    <row r="18">
      <c r="A18">
        <f>A16*A17</f>
        <v/>
      </c>
      <c r="B18">
        <f>B16*B17</f>
        <v/>
      </c>
      <c r="C18">
        <f>C16*C17</f>
        <v/>
      </c>
      <c r="D18">
        <f>D16*D17</f>
        <v/>
      </c>
      <c r="E18">
        <f>E16*E17</f>
        <v/>
      </c>
      <c r="F18">
        <f>F16*F17</f>
        <v/>
      </c>
      <c r="G18">
        <f>G16*G17</f>
        <v/>
      </c>
      <c r="H18">
        <f>H16*H17</f>
        <v/>
      </c>
      <c r="I18">
        <f>I16*I17</f>
        <v/>
      </c>
      <c r="M18" s="1">
        <f>50*SUM(A18:I18)/SUM(A17:I17)</f>
        <v/>
      </c>
      <c r="N18" t="inlineStr">
        <is>
          <t>weighted</t>
        </is>
      </c>
    </row>
    <row r="21">
      <c r="A21" s="2" t="inlineStr">
        <is>
          <t>CHANGES vs original:</t>
        </is>
      </c>
    </row>
    <row r="22">
      <c r="A22" t="inlineStr">
        <is>
          <t>1) ES divides by SUM of weights (M8/M18) -&gt; an average season = exactly 50, and QB/RB are comparable.</t>
        </is>
      </c>
    </row>
    <row r="23">
      <c r="A23" t="inlineStr">
        <is>
          <t>2) Sack% now inverted+floored: =MAX(0,2-(K3/K4)) (low is good), matching INT%.</t>
        </is>
      </c>
    </row>
    <row r="24">
      <c r="A24" t="inlineStr">
        <is>
          <t>3) Inverted stats floored at 0 so a terrible INT%/Sack%/FMB cannot push ES negative.</t>
        </is>
      </c>
    </row>
    <row r="25">
      <c r="A25" t="inlineStr">
        <is>
          <t>4) RB now includes Receiving (Rec, RecYds) + Games (availability) and KEEPS fumbles in the weighted ES.</t>
        </is>
      </c>
    </row>
    <row r="26">
      <c r="A26" t="inlineStr">
        <is>
          <t>5) Benchmark rows (gold) = per-year AVERAGE OF ALL QUALIFIERS — replace placeholders with computed yearly avgs.</t>
        </is>
      </c>
    </row>
    <row r="27">
      <c r="A27" t="inlineStr">
        <is>
          <t>OPEN: set the qualifier threshold (e.g. QB &gt;= ~14 att/g; RB &gt;= ~100 carries) used to compute those averages.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2026-06-12T17:55:03Z</dcterms:created>
  <dcterms:modified xmlns:dcterms="http://purl.org/dc/terms/" xmlns:xsi="http://www.w3.org/2001/XMLSchema-instance" xsi:type="dcterms:W3CDTF">2026-06-12T17:55:03Z</dcterms:modified>
</cp:coreProperties>
</file>