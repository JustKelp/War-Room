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<sst xmlns="http://schemas.openxmlformats.org/spreadsheetml/2006/main" count="27" uniqueCount="25">
  <si>
    <t>Rate</t>
  </si>
  <si>
    <t>INT%</t>
  </si>
  <si>
    <t>TD%</t>
  </si>
  <si>
    <t>Y/G</t>
  </si>
  <si>
    <t>Comp%</t>
  </si>
  <si>
    <t>Suc%</t>
  </si>
  <si>
    <t>ANY/A</t>
  </si>
  <si>
    <t>4QC</t>
  </si>
  <si>
    <t>G</t>
  </si>
  <si>
    <t>CB%</t>
  </si>
  <si>
    <t>Sack%</t>
  </si>
  <si>
    <t>ES</t>
  </si>
  <si>
    <t>Tom Brady 2011</t>
  </si>
  <si>
    <t>Aaron Rogers 2011</t>
  </si>
  <si>
    <t>Yards</t>
  </si>
  <si>
    <t>TD</t>
  </si>
  <si>
    <t>Y/A</t>
  </si>
  <si>
    <t>ATT</t>
  </si>
  <si>
    <t>FMB</t>
  </si>
  <si>
    <t>AVG/ Quota</t>
  </si>
  <si>
    <t>Lasean Mccoy</t>
  </si>
  <si>
    <t>Rice</t>
  </si>
  <si>
    <t>Weighted Mccoy</t>
  </si>
  <si>
    <t>Weighted Rice</t>
  </si>
  <si>
    <t>Weighterd Drew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</si>
</sst>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M2" s="1" t="s">
        <v>11</v>
      </c>
    </row>
    <row r="3">
      <c r="A3" s="1">
        <v>105.6</v>
      </c>
      <c r="B3" s="1">
        <v>2.0</v>
      </c>
      <c r="C3" s="1">
        <v>6.4</v>
      </c>
      <c r="D3" s="1">
        <v>327.2</v>
      </c>
      <c r="E3" s="1">
        <v>65.6</v>
      </c>
      <c r="F3" s="1">
        <v>55.5</v>
      </c>
      <c r="G3" s="1">
        <v>8.2</v>
      </c>
      <c r="H3" s="1">
        <v>1.0</v>
      </c>
      <c r="I3" s="1">
        <v>16.0</v>
      </c>
      <c r="J3" s="2">
        <f t="shared" ref="J3:J4" si="1">H3/I3</f>
        <v>0.0625</v>
      </c>
      <c r="K3" s="1">
        <v>4.98</v>
      </c>
    </row>
    <row r="4">
      <c r="A4" s="1">
        <v>84.3</v>
      </c>
      <c r="B4" s="1">
        <v>2.9</v>
      </c>
      <c r="C4" s="1">
        <v>4.3</v>
      </c>
      <c r="D4" s="1">
        <v>126.5</v>
      </c>
      <c r="E4" s="1">
        <v>60.1</v>
      </c>
      <c r="F4" s="1">
        <v>44.2</v>
      </c>
      <c r="G4" s="1">
        <v>5.9</v>
      </c>
      <c r="H4" s="1">
        <v>1.0</v>
      </c>
      <c r="I4" s="1">
        <v>14.0</v>
      </c>
      <c r="J4" s="2">
        <f t="shared" si="1"/>
        <v>0.07142857143</v>
      </c>
      <c r="K4" s="1">
        <v>6.32</v>
      </c>
    </row>
    <row r="6">
      <c r="A6" s="2">
        <f>A3/A4</f>
        <v>1.252669039</v>
      </c>
      <c r="B6" s="2">
        <f>1-(B3/B4)+1</f>
        <v>1.310344828</v>
      </c>
      <c r="C6" s="2">
        <f t="shared" ref="C6:J6" si="2">C3/C4</f>
        <v>1.488372093</v>
      </c>
      <c r="D6" s="2">
        <f t="shared" si="2"/>
        <v>2.586561265</v>
      </c>
      <c r="E6" s="2">
        <f t="shared" si="2"/>
        <v>1.091514143</v>
      </c>
      <c r="F6" s="2">
        <f t="shared" si="2"/>
        <v>1.255656109</v>
      </c>
      <c r="G6" s="2">
        <f t="shared" si="2"/>
        <v>1.389830508</v>
      </c>
      <c r="H6" s="2">
        <f t="shared" si="2"/>
        <v>1</v>
      </c>
      <c r="I6" s="2">
        <f t="shared" si="2"/>
        <v>1.142857143</v>
      </c>
      <c r="J6" s="2">
        <f t="shared" si="2"/>
        <v>0.875</v>
      </c>
      <c r="K6" s="2">
        <f>(K3/K4)</f>
        <v>0.7879746835</v>
      </c>
      <c r="M6" s="2">
        <f t="shared" ref="M6:M8" si="3">50*(SUM(A6:G6,I6:K6)/9)</f>
        <v>73.22655451</v>
      </c>
    </row>
    <row r="7">
      <c r="A7" s="1">
        <v>2.0</v>
      </c>
      <c r="B7" s="1">
        <v>1.5</v>
      </c>
      <c r="C7" s="1">
        <v>1.75</v>
      </c>
      <c r="D7" s="1">
        <v>0.6</v>
      </c>
      <c r="E7" s="1">
        <v>1.25</v>
      </c>
      <c r="F7" s="1">
        <v>1.0</v>
      </c>
      <c r="G7" s="1">
        <v>1.25</v>
      </c>
      <c r="I7" s="1">
        <v>1.0</v>
      </c>
      <c r="J7" s="1">
        <v>1.0</v>
      </c>
      <c r="K7" s="1">
        <v>1.0</v>
      </c>
      <c r="M7" s="2">
        <f t="shared" si="3"/>
        <v>68.61111111</v>
      </c>
    </row>
    <row r="8">
      <c r="A8" s="2">
        <f t="shared" ref="A8:G8" si="4">A6*A7</f>
        <v>2.505338078</v>
      </c>
      <c r="B8" s="2">
        <f t="shared" si="4"/>
        <v>1.965517241</v>
      </c>
      <c r="C8" s="2">
        <f t="shared" si="4"/>
        <v>2.604651163</v>
      </c>
      <c r="D8" s="2">
        <f t="shared" si="4"/>
        <v>1.551936759</v>
      </c>
      <c r="E8" s="2">
        <f t="shared" si="4"/>
        <v>1.364392679</v>
      </c>
      <c r="F8" s="2">
        <f t="shared" si="4"/>
        <v>1.255656109</v>
      </c>
      <c r="G8" s="2">
        <f t="shared" si="4"/>
        <v>1.737288136</v>
      </c>
      <c r="I8" s="2">
        <f t="shared" ref="I8:K8" si="5">I6*I7</f>
        <v>1.142857143</v>
      </c>
      <c r="J8" s="2">
        <f t="shared" si="5"/>
        <v>0.875</v>
      </c>
      <c r="K8" s="2">
        <f t="shared" si="5"/>
        <v>0.7879746835</v>
      </c>
      <c r="M8" s="2">
        <f t="shared" si="3"/>
        <v>87.72562217</v>
      </c>
      <c r="N8" s="1" t="s">
        <v>12</v>
      </c>
    </row>
    <row r="12">
      <c r="A12" s="1">
        <v>122.5</v>
      </c>
      <c r="B12" s="1">
        <v>1.2</v>
      </c>
      <c r="C12" s="1">
        <v>9.0</v>
      </c>
      <c r="D12" s="1">
        <v>309.5</v>
      </c>
      <c r="E12" s="1">
        <v>68.3</v>
      </c>
      <c r="F12" s="1">
        <v>53.0</v>
      </c>
      <c r="G12" s="1">
        <v>9.4</v>
      </c>
      <c r="H12" s="1">
        <v>0.0</v>
      </c>
      <c r="I12" s="1">
        <v>15.0</v>
      </c>
      <c r="J12" s="1">
        <v>0.0</v>
      </c>
      <c r="K12" s="1">
        <v>6.69</v>
      </c>
    </row>
    <row r="13">
      <c r="A13" s="2">
        <f>A12/A4</f>
        <v>1.453143535</v>
      </c>
      <c r="B13" s="2">
        <f>1-(B12/B4)+1</f>
        <v>1.586206897</v>
      </c>
      <c r="C13" s="2">
        <f t="shared" ref="C13:G13" si="6">C12/C4</f>
        <v>2.093023256</v>
      </c>
      <c r="D13" s="2">
        <f t="shared" si="6"/>
        <v>2.446640316</v>
      </c>
      <c r="E13" s="2">
        <f t="shared" si="6"/>
        <v>1.136439268</v>
      </c>
      <c r="F13" s="2">
        <f t="shared" si="6"/>
        <v>1.199095023</v>
      </c>
      <c r="G13" s="2">
        <f t="shared" si="6"/>
        <v>1.593220339</v>
      </c>
      <c r="I13" s="2">
        <f t="shared" ref="I13:K13" si="7">I12/I4</f>
        <v>1.071428571</v>
      </c>
      <c r="J13" s="2">
        <f t="shared" si="7"/>
        <v>0</v>
      </c>
      <c r="K13" s="2">
        <f t="shared" si="7"/>
        <v>1.058544304</v>
      </c>
    </row>
    <row r="16">
      <c r="A16" s="2">
        <f t="shared" ref="A16:G16" si="8">A13*A7</f>
        <v>2.90628707</v>
      </c>
      <c r="B16" s="2">
        <f t="shared" si="8"/>
        <v>2.379310345</v>
      </c>
      <c r="C16" s="2">
        <f t="shared" si="8"/>
        <v>3.662790698</v>
      </c>
      <c r="D16" s="2">
        <f t="shared" si="8"/>
        <v>1.46798419</v>
      </c>
      <c r="E16" s="2">
        <f t="shared" si="8"/>
        <v>1.420549085</v>
      </c>
      <c r="F16" s="2">
        <f t="shared" si="8"/>
        <v>1.199095023</v>
      </c>
      <c r="G16" s="2">
        <f t="shared" si="8"/>
        <v>1.991525424</v>
      </c>
      <c r="I16" s="2">
        <f t="shared" ref="I16:K16" si="9">I13*I7</f>
        <v>1.071428571</v>
      </c>
      <c r="J16" s="2">
        <f t="shared" si="9"/>
        <v>0</v>
      </c>
      <c r="K16" s="2">
        <f t="shared" si="9"/>
        <v>1.058544304</v>
      </c>
      <c r="M16" s="2">
        <f>50*(SUM(A16:G16,I16:K16)/9)</f>
        <v>95.31952616</v>
      </c>
      <c r="N16" s="1" t="s">
        <v>13</v>
      </c>
    </row>
    <row r="21">
      <c r="D21" s="1">
        <v>1606.0</v>
      </c>
      <c r="E21" s="1">
        <v>8.0</v>
      </c>
      <c r="F21" s="1">
        <v>48.1</v>
      </c>
      <c r="G21" s="1">
        <v>4.7</v>
      </c>
      <c r="H21" s="1">
        <v>343.0</v>
      </c>
    </row>
    <row r="22">
      <c r="D22" s="1" t="s">
        <v>14</v>
      </c>
      <c r="E22" s="1" t="s">
        <v>15</v>
      </c>
      <c r="F22" s="1" t="s">
        <v>5</v>
      </c>
      <c r="G22" s="1" t="s">
        <v>16</v>
      </c>
      <c r="H22" s="1" t="s">
        <v>17</v>
      </c>
      <c r="I22" s="1" t="s">
        <v>18</v>
      </c>
      <c r="J22" s="1" t="s">
        <v>11</v>
      </c>
    </row>
    <row r="23">
      <c r="C23" s="1" t="s">
        <v>19</v>
      </c>
      <c r="D23" s="3">
        <v>1000.0</v>
      </c>
      <c r="E23" s="3">
        <v>6.0</v>
      </c>
      <c r="F23" s="1">
        <v>44.9</v>
      </c>
      <c r="G23" s="1">
        <v>4.3</v>
      </c>
      <c r="H23" s="3">
        <v>200.0</v>
      </c>
      <c r="I23" s="3">
        <v>2.0</v>
      </c>
    </row>
    <row r="24">
      <c r="C24" s="1" t="s">
        <v>20</v>
      </c>
      <c r="D24" s="1">
        <v>1309.0</v>
      </c>
      <c r="E24" s="1">
        <v>17.0</v>
      </c>
      <c r="F24" s="1">
        <v>50.9</v>
      </c>
      <c r="G24" s="1">
        <v>4.8</v>
      </c>
      <c r="H24" s="1">
        <v>273.0</v>
      </c>
      <c r="I24" s="1">
        <v>1.0</v>
      </c>
    </row>
    <row r="25">
      <c r="D25" s="2">
        <f t="shared" ref="D25:H25" si="10">D24/D23</f>
        <v>1.309</v>
      </c>
      <c r="E25" s="2">
        <f t="shared" si="10"/>
        <v>2.833333333</v>
      </c>
      <c r="F25" s="2">
        <f t="shared" si="10"/>
        <v>1.13363029</v>
      </c>
      <c r="G25" s="2">
        <f t="shared" si="10"/>
        <v>1.11627907</v>
      </c>
      <c r="H25" s="2">
        <f t="shared" si="10"/>
        <v>1.365</v>
      </c>
      <c r="I25" s="2">
        <f>1-(I24/I23)+1</f>
        <v>1.5</v>
      </c>
      <c r="J25" s="2">
        <f>50*((SUM(D25:I25)/6))</f>
        <v>77.14368911</v>
      </c>
    </row>
    <row r="26">
      <c r="C26" s="1" t="s">
        <v>21</v>
      </c>
      <c r="D26" s="1">
        <v>1364.0</v>
      </c>
      <c r="E26" s="1">
        <v>12.0</v>
      </c>
      <c r="F26" s="1">
        <v>43.0</v>
      </c>
      <c r="G26" s="1">
        <v>4.7</v>
      </c>
      <c r="H26" s="1">
        <v>291.0</v>
      </c>
      <c r="I26" s="1">
        <v>2.0</v>
      </c>
    </row>
    <row r="27">
      <c r="D27" s="2">
        <f t="shared" ref="D27:H27" si="11">D26/D23</f>
        <v>1.364</v>
      </c>
      <c r="E27" s="2">
        <f t="shared" si="11"/>
        <v>2</v>
      </c>
      <c r="F27" s="2">
        <f t="shared" si="11"/>
        <v>0.9576837416</v>
      </c>
      <c r="G27" s="2">
        <f t="shared" si="11"/>
        <v>1.093023256</v>
      </c>
      <c r="H27" s="2">
        <f t="shared" si="11"/>
        <v>1.455</v>
      </c>
      <c r="I27" s="2">
        <f>1-(I26/I23)+1</f>
        <v>1</v>
      </c>
      <c r="J27" s="2">
        <f>50*((SUM(D27:I27)/6))</f>
        <v>65.58089165</v>
      </c>
    </row>
    <row r="29">
      <c r="D29" s="1">
        <v>1.5</v>
      </c>
      <c r="E29" s="1">
        <v>1.0</v>
      </c>
      <c r="F29" s="1">
        <v>1.2</v>
      </c>
      <c r="G29" s="1">
        <v>1.4</v>
      </c>
      <c r="H29" s="1">
        <v>1.2</v>
      </c>
      <c r="I29" s="1">
        <v>0.5</v>
      </c>
    </row>
    <row r="31">
      <c r="C31" s="1" t="s">
        <v>22</v>
      </c>
      <c r="D31" s="2">
        <f t="shared" ref="D31:H31" si="12">D25*D29</f>
        <v>1.9635</v>
      </c>
      <c r="E31" s="2">
        <f t="shared" si="12"/>
        <v>2.833333333</v>
      </c>
      <c r="F31" s="2">
        <f t="shared" si="12"/>
        <v>1.360356347</v>
      </c>
      <c r="G31" s="2">
        <f t="shared" si="12"/>
        <v>1.562790698</v>
      </c>
      <c r="H31" s="2">
        <f t="shared" si="12"/>
        <v>1.638</v>
      </c>
      <c r="J31" s="2">
        <f t="shared" ref="J31:J33" si="14">50*((SUM(D31:H31)/5))</f>
        <v>93.57980378</v>
      </c>
    </row>
    <row r="32">
      <c r="C32" s="1" t="s">
        <v>23</v>
      </c>
      <c r="D32" s="2">
        <f t="shared" ref="D32:H32" si="13">D27*D29</f>
        <v>2.046</v>
      </c>
      <c r="E32" s="2">
        <f t="shared" si="13"/>
        <v>2</v>
      </c>
      <c r="F32" s="2">
        <f t="shared" si="13"/>
        <v>1.14922049</v>
      </c>
      <c r="G32" s="2">
        <f t="shared" si="13"/>
        <v>1.530232558</v>
      </c>
      <c r="H32" s="2">
        <f t="shared" si="13"/>
        <v>1.746</v>
      </c>
      <c r="J32" s="2">
        <f t="shared" si="14"/>
        <v>84.71453048</v>
      </c>
    </row>
    <row r="33">
      <c r="C33" s="1" t="s">
        <v>24</v>
      </c>
      <c r="D33" s="2">
        <f t="shared" ref="D33:H33" si="15">(D21/D23)*D29</f>
        <v>2.409</v>
      </c>
      <c r="E33" s="2">
        <f t="shared" si="15"/>
        <v>1.333333333</v>
      </c>
      <c r="F33" s="2">
        <f t="shared" si="15"/>
        <v>1.285523385</v>
      </c>
      <c r="G33" s="2">
        <f t="shared" si="15"/>
        <v>1.530232558</v>
      </c>
      <c r="H33" s="2">
        <f t="shared" si="15"/>
        <v>2.058</v>
      </c>
      <c r="J33" s="2">
        <f t="shared" si="14"/>
        <v>86.16089277</v>
      </c>
    </row>
  </sheetData>
  <drawing r:id="rId1"/>
</worksheet>
</file>